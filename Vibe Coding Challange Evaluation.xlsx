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mc:AlternateContent xmlns:mc="http://schemas.openxmlformats.org/markup-compatibility/2006">
    <mc:Choice Requires="x15">
      <x15ac:absPath xmlns:x15ac="http://schemas.microsoft.com/office/spreadsheetml/2010/11/ac" url="/Users/Q204664/Documents/WS KI in Freigabeumsetzung/"/>
    </mc:Choice>
  </mc:AlternateContent>
  <xr:revisionPtr revIDLastSave="0" documentId="13_ncr:1_{017245F3-A88C-7F4E-B5BD-00BA92888367}" xr6:coauthVersionLast="47" xr6:coauthVersionMax="47" xr10:uidLastSave="{00000000-0000-0000-0000-000000000000}"/>
  <bookViews>
    <workbookView xWindow="0" yWindow="660" windowWidth="30240" windowHeight="17240" xr2:uid="{00000000-000D-0000-FFFF-FFFF00000000}"/>
  </bookViews>
  <sheets>
    <sheet name="Auswertung" sheetId="1" r:id="rId1"/>
    <sheet name="Stammdaten" sheetId="2" r:id="rId2"/>
  </sheets>
  <definedNames>
    <definedName name="Namen">Stammdaten!$B$2:$B$13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4" i="1" l="1"/>
  <c r="N14" i="1" s="1"/>
  <c r="E13" i="1"/>
  <c r="O12" i="1"/>
  <c r="E12" i="1"/>
  <c r="L12" i="1" s="1"/>
  <c r="Q12" i="1" s="1"/>
  <c r="E11" i="1"/>
  <c r="M11" i="1" s="1"/>
  <c r="R11" i="1" s="1"/>
  <c r="E10" i="1"/>
  <c r="N10" i="1" s="1"/>
  <c r="S10" i="1" s="1"/>
  <c r="E9" i="1"/>
  <c r="O9" i="1" s="1"/>
  <c r="E8" i="1"/>
  <c r="E7" i="1"/>
  <c r="E6" i="1"/>
  <c r="E5" i="1"/>
  <c r="L5" i="1" s="1"/>
  <c r="E4" i="1"/>
  <c r="N4" i="1" s="1"/>
  <c r="E3" i="1"/>
  <c r="L3" i="1" s="1"/>
  <c r="K5" i="1" l="1"/>
  <c r="L4" i="1"/>
  <c r="Q4" i="1" s="1"/>
  <c r="M4" i="1"/>
  <c r="R4" i="1" s="1"/>
  <c r="K4" i="1"/>
  <c r="P4" i="1" s="1"/>
  <c r="T4" i="1"/>
  <c r="O4" i="1"/>
  <c r="K3" i="1"/>
  <c r="P3" i="1" s="1"/>
  <c r="M3" i="1"/>
  <c r="R3" i="1" s="1"/>
  <c r="N3" i="1"/>
  <c r="S3" i="1" s="1"/>
  <c r="Q3" i="1"/>
  <c r="O3" i="1"/>
  <c r="T3" i="1" s="1"/>
  <c r="K14" i="1"/>
  <c r="P14" i="1" s="1"/>
  <c r="M14" i="1"/>
  <c r="L14" i="1"/>
  <c r="Q14" i="1" s="1"/>
  <c r="O14" i="1"/>
  <c r="T14" i="1" s="1"/>
  <c r="N13" i="1"/>
  <c r="K13" i="1"/>
  <c r="P13" i="1"/>
  <c r="L13" i="1"/>
  <c r="O13" i="1"/>
  <c r="T13" i="1" s="1"/>
  <c r="Q13" i="1"/>
  <c r="M13" i="1"/>
  <c r="R13" i="1" s="1"/>
  <c r="M12" i="1"/>
  <c r="R12" i="1" s="1"/>
  <c r="N12" i="1"/>
  <c r="S12" i="1" s="1"/>
  <c r="N11" i="1"/>
  <c r="S11" i="1" s="1"/>
  <c r="O11" i="1"/>
  <c r="O10" i="1"/>
  <c r="T10" i="1" s="1"/>
  <c r="T5" i="1"/>
  <c r="S6" i="1"/>
  <c r="R7" i="1"/>
  <c r="M5" i="1"/>
  <c r="R5" i="1" s="1"/>
  <c r="K7" i="1"/>
  <c r="P7" i="1" s="1"/>
  <c r="N5" i="1"/>
  <c r="T12" i="1"/>
  <c r="S13" i="1"/>
  <c r="R14" i="1"/>
  <c r="K6" i="1"/>
  <c r="L7" i="1"/>
  <c r="Q7" i="1" s="1"/>
  <c r="K8" i="1"/>
  <c r="P8" i="1" s="1"/>
  <c r="O5" i="1"/>
  <c r="L8" i="1"/>
  <c r="Q8" i="1" s="1"/>
  <c r="P5" i="1"/>
  <c r="O6" i="1"/>
  <c r="T6" i="1" s="1"/>
  <c r="N7" i="1"/>
  <c r="S7" i="1" s="1"/>
  <c r="M8" i="1"/>
  <c r="R8" i="1" s="1"/>
  <c r="L9" i="1"/>
  <c r="Q9" i="1" s="1"/>
  <c r="K10" i="1"/>
  <c r="P10" i="1" s="1"/>
  <c r="Q5" i="1"/>
  <c r="P6" i="1"/>
  <c r="N8" i="1"/>
  <c r="S8" i="1" s="1"/>
  <c r="M9" i="1"/>
  <c r="R9" i="1" s="1"/>
  <c r="L10" i="1"/>
  <c r="Q10" i="1" s="1"/>
  <c r="K11" i="1"/>
  <c r="P11" i="1" s="1"/>
  <c r="S4" i="1"/>
  <c r="Q6" i="1"/>
  <c r="O8" i="1"/>
  <c r="T8" i="1" s="1"/>
  <c r="N9" i="1"/>
  <c r="S9" i="1" s="1"/>
  <c r="M10" i="1"/>
  <c r="R10" i="1" s="1"/>
  <c r="L11" i="1"/>
  <c r="Q11" i="1" s="1"/>
  <c r="K12" i="1"/>
  <c r="P12" i="1" s="1"/>
  <c r="S14" i="1"/>
  <c r="L6" i="1"/>
  <c r="M6" i="1"/>
  <c r="R6" i="1" s="1"/>
  <c r="T9" i="1"/>
  <c r="N6" i="1"/>
  <c r="M7" i="1"/>
  <c r="K9" i="1"/>
  <c r="P9" i="1" s="1"/>
  <c r="T11" i="1"/>
  <c r="O7" i="1"/>
  <c r="T7" i="1" s="1"/>
  <c r="K15" i="1" l="1"/>
  <c r="P1" i="1"/>
  <c r="Q1" i="1"/>
  <c r="Q15" i="1"/>
  <c r="T15" i="1"/>
  <c r="R1" i="1"/>
  <c r="R15" i="1"/>
  <c r="L1" i="1"/>
  <c r="K1" i="1"/>
  <c r="P15" i="1"/>
  <c r="O15" i="1"/>
  <c r="O1" i="1"/>
  <c r="M1" i="1"/>
  <c r="T1" i="1"/>
  <c r="M15" i="1"/>
  <c r="N1" i="1"/>
  <c r="N15" i="1"/>
  <c r="L15" i="1"/>
  <c r="S5" i="1"/>
  <c r="S15" i="1" l="1"/>
  <c r="S1" i="1"/>
</calcChain>
</file>

<file path=xl/sharedStrings.xml><?xml version="1.0" encoding="utf-8"?>
<sst xmlns="http://schemas.openxmlformats.org/spreadsheetml/2006/main" count="71" uniqueCount="34">
  <si>
    <t>AnonID</t>
  </si>
  <si>
    <t>Name</t>
  </si>
  <si>
    <t>Beschreibung</t>
  </si>
  <si>
    <t>Aufdecken</t>
  </si>
  <si>
    <t>Lösung</t>
  </si>
  <si>
    <t>Person 4/Person 10</t>
  </si>
  <si>
    <t>Person 11/Person 1</t>
  </si>
  <si>
    <t>Person 5/Person 12</t>
  </si>
  <si>
    <t>Person 6/Person 13</t>
  </si>
  <si>
    <t>2*Person 14/Person 7</t>
  </si>
  <si>
    <t>Person 1</t>
  </si>
  <si>
    <t>Hobbys umfassen Zweiradfahren und Ballsport, gelegentlich Zuschauen bei Sportveranstaltungen.
Bevorzugt bestimmte alkoholische Getränke, andere werden weniger gut vertragen.
Langjährige Betriebszugehörigkeit beim aktuellen Arbeitgeber.
Hat Schwierigkeiten bei Entscheidungen zwischen mehreren gleichwertigen Optionen.
Elternteil mit Kindern unterschiedlicher Begabungen.</t>
  </si>
  <si>
    <t>Person 12</t>
  </si>
  <si>
    <t>Person 5</t>
  </si>
  <si>
    <t>Person 6</t>
  </si>
  <si>
    <t>Person 11</t>
  </si>
  <si>
    <t>Person 2</t>
  </si>
  <si>
    <t>Hobbys sind Radfahren und Wandern, kombiniert gerne beides im Urlaub.
Neugierig und offen für neue Themen. Hat Familie mit Kindern.
Ernährte sich eine längere Zeit vegetarisch.
Fährt umweltfreundliches Fahrzeug und kauft nachhaltig produzierte Kleidung.</t>
  </si>
  <si>
    <t>Person 3</t>
  </si>
  <si>
    <t>Betreibt verschiedene Hobbys wie Teamsport einmal wöchentlich.
Unternimmt gerne längere Radtouren.
Spielt gelegentlich Golf mit Familienmitgliedern.
Aktuell viel mit handwerklichen Projekten beschäftigt.
Fährt ein mittelklassiges Fahrzeug und besitzt ein älteres Zweirad.</t>
  </si>
  <si>
    <t>Person 9</t>
  </si>
  <si>
    <t>Person 4</t>
  </si>
  <si>
    <t>Wohnt seit mehreren Jahren in einer Großstadt und arbeitet seit einigen Jahren im aktuellen Bereich.
In der Freizeit Interesse an Unterhaltungsmedien, Gaming und Naturaktivitäten.
Hat Vorlieben für bestimmte internationale Speisen und Getränke.
Beschäftigt sich mit aktuellen Internet-Theorien.</t>
  </si>
  <si>
    <t>Person 7</t>
  </si>
  <si>
    <t>Hat mehrere Berufsausbildungen absolviert und arbeitet in einem anderen Tätigkeitsfeld als ursprünglich gelernt.
Persönliche Weiterentwicklung in Bezug auf emotionale Reaktionen.
Elternteil von schulpflichtigen Kindern.
Vielseitig sportlich aktiv mit Ausdauer- und Beweglichkeitssportarten.
Wintersportaktivitäten zusammen mit den Kindern.</t>
  </si>
  <si>
    <t>Person 10</t>
  </si>
  <si>
    <t>Naturverbunden und gerne draußen aktiv.
Leidenschaftlicher Radsportler mit verschiedenen Fahrradtypen.
Reist gerne und hat Interesse am Kochen.
Probiert regelmäßig neue Rezepte aus.</t>
  </si>
  <si>
    <t>Person 8</t>
  </si>
  <si>
    <t>Spielt gerne Mannschaftssport.
Hat eine Vorliebe für eine bestimmte süße Speise.
Fährt einen Kleinwagen.
Wohnt in einer urbanen Umgebung.</t>
  </si>
  <si>
    <t>Freizeitaktivitäten umfassen Motorradfahren, Wintersport und Fitness.
Benötigt beim Essen mehr Zeit als andere.
Hat eine klare Meinung zu klassischen Fahrzeugmodellen.</t>
  </si>
  <si>
    <t>Reist gerne.
Verheiratet mit zwei Kindern.
Spielt gerne Ballsport.
Interessiert sich für japanische Unterhaltungsmedien.
Findet administrative Aufgaben wenig ansprechend.</t>
  </si>
  <si>
    <t>Backt gerne und stellt eigene Backwaren her.
Fährt gerne Rad.
Hat eine spezielle Organisationszuordnung im Arbeitskontext.
Praktiziert regelmäßig Yoga.
Hat Expertise in einem technischen Fachbereich.</t>
  </si>
  <si>
    <t>Besitzt ein mittelgroßes Fahrzeug.
Hat zwei Kinder.
Fährt gerne Fahrrad.
Bevorzugt im Sommer leichte Kleidung.
Urlaubsziele liegen bevorzugt im europäischen Raum.</t>
  </si>
  <si>
    <t>Kocht leidenschaftlich gerne, mag aber Aufräumarbeiten nicht.
Hat mehrere favorisierte Fahrzeugmodelle aus verschiedenen Baureihen.
Fotografiert gerne und ist viel unterwegs.
Musikgeschmack umfasst elektronische und urbane Musikstile.
War häufiger im Ausland als in heimischen Regionen.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</si>
</sst>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2"/>
      <color theme="1"/>
      <name val="Aptos Narrow"/>
      <scheme val="minor"/>
    </font>
  </fonts>
  <fills count="2">
    <fill>
      <patternFill patternType="none"/>
    </fill>
    <fill>
      <patternFill patternType="gray125"/>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3">
    <xf numFmtId="0" fontId="0" fillId="0" borderId="0" xfId="0"/>
    <xf numFmtId="0" fontId="0" fillId="0" borderId="0" xfId="0" applyAlignment="1">
      <alignment vertical="top"/>
    </xf>
    <xf numFmtId="0" fontId="0" fillId="0" borderId="0" xfId="0" applyAlignment="1">
      <alignment vertical="top" wrapText="1"/>
    </xf>
    <xf numFmtId="0" fontId="1" fillId="0" borderId="0" xfId="0" applyFont="1" applyAlignment="1">
      <alignment vertical="top"/>
    </xf>
    <xf numFmtId="0" fontId="1" fillId="0" borderId="0" xfId="0" applyFont="1"/>
    <xf numFmtId="0" fontId="0" fillId="0" borderId="4" xfId="0" applyBorder="1"/>
    <xf numFmtId="0" fontId="0" fillId="0" borderId="5" xfId="0" applyBorder="1"/>
    <xf numFmtId="0" fontId="1" fillId="0" borderId="1" xfId="0" applyFont="1" applyBorder="1" applyAlignment="1">
      <alignment vertical="top"/>
    </xf>
    <xf numFmtId="0" fontId="1" fillId="0" borderId="2" xfId="0" applyFont="1" applyBorder="1" applyAlignment="1">
      <alignment vertical="top"/>
    </xf>
    <xf numFmtId="0" fontId="1" fillId="0" borderId="3" xfId="0" applyFont="1" applyBorder="1" applyAlignment="1">
      <alignment vertical="top"/>
    </xf>
    <xf numFmtId="0" fontId="0" fillId="0" borderId="6" xfId="0" applyBorder="1"/>
    <xf numFmtId="0" fontId="0" fillId="0" borderId="7" xfId="0" applyBorder="1"/>
    <xf numFmtId="0" fontId="0" fillId="0" borderId="8" xfId="0" applyBorder="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5"/>
  <sheetViews>
    <sheetView tabSelected="1" zoomScale="90" zoomScaleNormal="90" workbookViewId="0">
      <pane ySplit="2" topLeftCell="A4" activePane="bottomLeft" state="frozen"/>
      <selection pane="bottomLeft" activeCell="D8" sqref="D8"/>
    </sheetView>
  </sheetViews>
  <sheetFormatPr baseColWidth="10" defaultRowHeight="16" x14ac:dyDescent="0.2"/>
  <cols>
    <col min="2" max="2" width="13" hidden="1" customWidth="1"/>
    <col min="3" max="3" width="90.6640625" customWidth="1"/>
    <col min="4" max="4" width="9.83203125" customWidth="1"/>
    <col min="7" max="7" width="15" customWidth="1"/>
    <col min="8" max="8" width="13" customWidth="1"/>
    <col min="10" max="10" width="12.83203125" customWidth="1"/>
    <col min="11" max="15" width="13" hidden="1" customWidth="1"/>
  </cols>
  <sheetData>
    <row r="1" spans="1:20" x14ac:dyDescent="0.2">
      <c r="K1" s="4">
        <f t="shared" ref="K1:T1" si="0">SUM(K3:K14)</f>
        <v>0</v>
      </c>
      <c r="L1" s="4">
        <f t="shared" si="0"/>
        <v>0</v>
      </c>
      <c r="M1" s="4">
        <f t="shared" si="0"/>
        <v>0</v>
      </c>
      <c r="N1" s="4">
        <f t="shared" si="0"/>
        <v>0</v>
      </c>
      <c r="O1" s="4">
        <f t="shared" si="0"/>
        <v>0</v>
      </c>
      <c r="P1" s="4">
        <f t="shared" si="0"/>
        <v>0</v>
      </c>
      <c r="Q1" s="4">
        <f t="shared" si="0"/>
        <v>0</v>
      </c>
      <c r="R1" s="4">
        <f t="shared" si="0"/>
        <v>0</v>
      </c>
      <c r="S1" s="4">
        <f t="shared" si="0"/>
        <v>0</v>
      </c>
      <c r="T1" s="4">
        <f t="shared" si="0"/>
        <v>0</v>
      </c>
    </row>
    <row r="2" spans="1:20" x14ac:dyDescent="0.2">
      <c r="A2" s="3" t="s">
        <v>0</v>
      </c>
      <c r="B2" s="3" t="s">
        <v>1</v>
      </c>
      <c r="C2" s="3" t="s">
        <v>2</v>
      </c>
      <c r="D2" s="3" t="s">
        <v>3</v>
      </c>
      <c r="E2" s="3" t="s">
        <v>4</v>
      </c>
      <c r="F2" s="3" t="s">
        <v>5</v>
      </c>
      <c r="G2" s="3" t="s">
        <v>6</v>
      </c>
      <c r="H2" s="3" t="s">
        <v>7</v>
      </c>
      <c r="I2" s="3" t="s">
        <v>8</v>
      </c>
      <c r="J2" s="3" t="s">
        <v>9</v>
      </c>
      <c r="K2" s="7" t="s">
        <v>5</v>
      </c>
      <c r="L2" s="8" t="s">
        <v>6</v>
      </c>
      <c r="M2" s="8" t="s">
        <v>7</v>
      </c>
      <c r="N2" s="8" t="s">
        <v>8</v>
      </c>
      <c r="O2" s="9" t="s">
        <v>9</v>
      </c>
      <c r="P2" s="3" t="s">
        <v>5</v>
      </c>
      <c r="Q2" s="3" t="s">
        <v>6</v>
      </c>
      <c r="R2" s="3" t="s">
        <v>7</v>
      </c>
      <c r="S2" s="3" t="s">
        <v>8</v>
      </c>
      <c r="T2" s="3" t="s">
        <v>9</v>
      </c>
    </row>
    <row r="3" spans="1:20" ht="119" customHeight="1" x14ac:dyDescent="0.2">
      <c r="A3" s="1">
        <v>1</v>
      </c>
      <c r="B3" s="1" t="s">
        <v>10</v>
      </c>
      <c r="C3" s="2" t="s">
        <v>11</v>
      </c>
      <c r="D3" s="1"/>
      <c r="E3" s="1" t="str">
        <f>IF(D3="x",Stammdaten!B2,"")</f>
        <v/>
      </c>
      <c r="F3" s="1"/>
      <c r="G3" s="1"/>
      <c r="H3" s="1"/>
      <c r="I3" s="1"/>
      <c r="J3" s="1"/>
      <c r="K3" s="5">
        <f t="shared" ref="K3:K14" si="1">IF($E3&lt;&gt;"",IF($E3=F3,1,0),0)</f>
        <v>0</v>
      </c>
      <c r="L3">
        <f t="shared" ref="L3:L14" si="2">IF($E3&lt;&gt;"",IF($E3=G3,1,0),0)</f>
        <v>0</v>
      </c>
      <c r="M3">
        <f t="shared" ref="M3:M14" si="3">IF($E3&lt;&gt;"",IF($E3=H3,1,0),0)</f>
        <v>0</v>
      </c>
      <c r="N3">
        <f t="shared" ref="N3:N14" si="4">IF($E3&lt;&gt;"",IF($E3=I3,1,0),0)</f>
        <v>0</v>
      </c>
      <c r="O3" s="6">
        <f t="shared" ref="O3:O14" si="5">IF($E3&lt;&gt;"",IF($E3=J3,1,0),0)</f>
        <v>0</v>
      </c>
      <c r="P3">
        <f t="shared" ref="P3:P14" si="6">IF(OR($E3="Person 4",$E3="Person 10"),0,K3)</f>
        <v>0</v>
      </c>
      <c r="Q3">
        <f t="shared" ref="Q3:Q14" si="7">IF(OR($E3="Person 11",$E3="Person 1"),0,L3)</f>
        <v>0</v>
      </c>
      <c r="R3">
        <f t="shared" ref="R3:R14" si="8">IF(OR($E3="Person 5",$E3="Person 12"),0,M3)</f>
        <v>0</v>
      </c>
      <c r="S3">
        <f t="shared" ref="S3:S14" si="9">IF(OR($E3="Person 6",$E3="Person 9"),0,N3)</f>
        <v>0</v>
      </c>
      <c r="T3">
        <f t="shared" ref="T3:T14" si="10">IF(OR($E3="Person 8",$E3="Person 3",E3="Person 7"),0,O3)</f>
        <v>0</v>
      </c>
    </row>
    <row r="4" spans="1:20" ht="51" customHeight="1" x14ac:dyDescent="0.2">
      <c r="A4" s="1">
        <v>2</v>
      </c>
      <c r="B4" s="1" t="s">
        <v>16</v>
      </c>
      <c r="C4" s="2" t="s">
        <v>17</v>
      </c>
      <c r="D4" s="1"/>
      <c r="E4" s="1" t="str">
        <f>IF(D4="x",Stammdaten!B3,"")</f>
        <v/>
      </c>
      <c r="F4" s="1"/>
      <c r="G4" s="1"/>
      <c r="H4" s="1"/>
      <c r="I4" s="1"/>
      <c r="J4" s="1"/>
      <c r="K4" s="5">
        <f t="shared" si="1"/>
        <v>0</v>
      </c>
      <c r="L4">
        <f t="shared" si="2"/>
        <v>0</v>
      </c>
      <c r="M4">
        <f t="shared" si="3"/>
        <v>0</v>
      </c>
      <c r="N4">
        <f t="shared" si="4"/>
        <v>0</v>
      </c>
      <c r="O4" s="6">
        <f t="shared" si="5"/>
        <v>0</v>
      </c>
      <c r="P4">
        <f t="shared" si="6"/>
        <v>0</v>
      </c>
      <c r="Q4">
        <f t="shared" si="7"/>
        <v>0</v>
      </c>
      <c r="R4">
        <f t="shared" si="8"/>
        <v>0</v>
      </c>
      <c r="S4">
        <f t="shared" si="9"/>
        <v>0</v>
      </c>
      <c r="T4">
        <f t="shared" si="10"/>
        <v>0</v>
      </c>
    </row>
    <row r="5" spans="1:20" ht="102" customHeight="1" x14ac:dyDescent="0.2">
      <c r="A5" s="1">
        <v>3</v>
      </c>
      <c r="B5" s="1" t="s">
        <v>18</v>
      </c>
      <c r="C5" s="2" t="s">
        <v>19</v>
      </c>
      <c r="D5" s="1"/>
      <c r="E5" s="1" t="str">
        <f>IF(D5="x",Stammdaten!B4,"")</f>
        <v/>
      </c>
      <c r="F5" s="1"/>
      <c r="G5" s="1"/>
      <c r="H5" s="1"/>
      <c r="I5" s="1"/>
      <c r="J5" s="1"/>
      <c r="K5" s="5">
        <f t="shared" si="1"/>
        <v>0</v>
      </c>
      <c r="L5">
        <f t="shared" si="2"/>
        <v>0</v>
      </c>
      <c r="M5">
        <f t="shared" si="3"/>
        <v>0</v>
      </c>
      <c r="N5">
        <f t="shared" si="4"/>
        <v>0</v>
      </c>
      <c r="O5" s="6">
        <f t="shared" si="5"/>
        <v>0</v>
      </c>
      <c r="P5">
        <f t="shared" si="6"/>
        <v>0</v>
      </c>
      <c r="Q5">
        <f t="shared" si="7"/>
        <v>0</v>
      </c>
      <c r="R5">
        <f t="shared" si="8"/>
        <v>0</v>
      </c>
      <c r="S5">
        <f t="shared" si="9"/>
        <v>0</v>
      </c>
      <c r="T5">
        <f t="shared" si="10"/>
        <v>0</v>
      </c>
    </row>
    <row r="6" spans="1:20" ht="68" customHeight="1" x14ac:dyDescent="0.2">
      <c r="A6" s="1">
        <v>4</v>
      </c>
      <c r="B6" s="1" t="s">
        <v>21</v>
      </c>
      <c r="C6" s="2" t="s">
        <v>22</v>
      </c>
      <c r="D6" s="1"/>
      <c r="E6" s="1" t="str">
        <f>IF(D6="x",Stammdaten!B5,"")</f>
        <v/>
      </c>
      <c r="F6" s="1"/>
      <c r="G6" s="1"/>
      <c r="H6" s="1"/>
      <c r="I6" s="1"/>
      <c r="J6" s="1"/>
      <c r="K6" s="5">
        <f t="shared" si="1"/>
        <v>0</v>
      </c>
      <c r="L6">
        <f t="shared" si="2"/>
        <v>0</v>
      </c>
      <c r="M6">
        <f t="shared" si="3"/>
        <v>0</v>
      </c>
      <c r="N6">
        <f t="shared" si="4"/>
        <v>0</v>
      </c>
      <c r="O6" s="6">
        <f t="shared" si="5"/>
        <v>0</v>
      </c>
      <c r="P6">
        <f t="shared" si="6"/>
        <v>0</v>
      </c>
      <c r="Q6">
        <f t="shared" si="7"/>
        <v>0</v>
      </c>
      <c r="R6">
        <f t="shared" si="8"/>
        <v>0</v>
      </c>
      <c r="S6">
        <f t="shared" si="9"/>
        <v>0</v>
      </c>
      <c r="T6">
        <f t="shared" si="10"/>
        <v>0</v>
      </c>
    </row>
    <row r="7" spans="1:20" ht="119" customHeight="1" x14ac:dyDescent="0.2">
      <c r="A7" s="1">
        <v>5</v>
      </c>
      <c r="B7" s="1" t="s">
        <v>13</v>
      </c>
      <c r="C7" s="2" t="s">
        <v>24</v>
      </c>
      <c r="D7" s="1"/>
      <c r="E7" s="1" t="str">
        <f>IF(D7="x",Stammdaten!B6,"")</f>
        <v/>
      </c>
      <c r="F7" s="1"/>
      <c r="G7" s="1"/>
      <c r="H7" s="1"/>
      <c r="I7" s="1"/>
      <c r="J7" s="1"/>
      <c r="K7" s="5">
        <f t="shared" si="1"/>
        <v>0</v>
      </c>
      <c r="L7">
        <f t="shared" si="2"/>
        <v>0</v>
      </c>
      <c r="M7">
        <f t="shared" si="3"/>
        <v>0</v>
      </c>
      <c r="N7">
        <f t="shared" si="4"/>
        <v>0</v>
      </c>
      <c r="O7" s="6">
        <f t="shared" si="5"/>
        <v>0</v>
      </c>
      <c r="P7">
        <f t="shared" si="6"/>
        <v>0</v>
      </c>
      <c r="Q7">
        <f t="shared" si="7"/>
        <v>0</v>
      </c>
      <c r="R7">
        <f t="shared" si="8"/>
        <v>0</v>
      </c>
      <c r="S7">
        <f t="shared" si="9"/>
        <v>0</v>
      </c>
      <c r="T7">
        <f t="shared" si="10"/>
        <v>0</v>
      </c>
    </row>
    <row r="8" spans="1:20" ht="68" customHeight="1" x14ac:dyDescent="0.2">
      <c r="A8" s="1">
        <v>6</v>
      </c>
      <c r="B8" s="1" t="s">
        <v>14</v>
      </c>
      <c r="C8" s="2" t="s">
        <v>26</v>
      </c>
      <c r="D8" s="1"/>
      <c r="E8" s="1" t="str">
        <f>IF(D8="x",Stammdaten!B7,"")</f>
        <v/>
      </c>
      <c r="F8" s="1"/>
      <c r="G8" s="1"/>
      <c r="H8" s="1"/>
      <c r="I8" s="1"/>
      <c r="J8" s="1"/>
      <c r="K8" s="5">
        <f t="shared" si="1"/>
        <v>0</v>
      </c>
      <c r="L8">
        <f t="shared" si="2"/>
        <v>0</v>
      </c>
      <c r="M8">
        <f t="shared" si="3"/>
        <v>0</v>
      </c>
      <c r="N8">
        <f t="shared" si="4"/>
        <v>0</v>
      </c>
      <c r="O8" s="6">
        <f t="shared" si="5"/>
        <v>0</v>
      </c>
      <c r="P8">
        <f t="shared" si="6"/>
        <v>0</v>
      </c>
      <c r="Q8">
        <f t="shared" si="7"/>
        <v>0</v>
      </c>
      <c r="R8">
        <f t="shared" si="8"/>
        <v>0</v>
      </c>
      <c r="S8">
        <f t="shared" si="9"/>
        <v>0</v>
      </c>
      <c r="T8">
        <f t="shared" si="10"/>
        <v>0</v>
      </c>
    </row>
    <row r="9" spans="1:20" ht="68" customHeight="1" x14ac:dyDescent="0.2">
      <c r="A9" s="1">
        <v>7</v>
      </c>
      <c r="B9" s="1" t="s">
        <v>23</v>
      </c>
      <c r="C9" s="2" t="s">
        <v>28</v>
      </c>
      <c r="D9" s="1"/>
      <c r="E9" s="1" t="str">
        <f>IF(D9="x",Stammdaten!B8,"")</f>
        <v/>
      </c>
      <c r="F9" s="1"/>
      <c r="G9" s="1"/>
      <c r="H9" s="1"/>
      <c r="I9" s="1"/>
      <c r="J9" s="1"/>
      <c r="K9" s="5">
        <f t="shared" si="1"/>
        <v>0</v>
      </c>
      <c r="L9">
        <f t="shared" si="2"/>
        <v>0</v>
      </c>
      <c r="M9">
        <f t="shared" si="3"/>
        <v>0</v>
      </c>
      <c r="N9">
        <f t="shared" si="4"/>
        <v>0</v>
      </c>
      <c r="O9" s="6">
        <f t="shared" si="5"/>
        <v>0</v>
      </c>
      <c r="P9">
        <f t="shared" si="6"/>
        <v>0</v>
      </c>
      <c r="Q9">
        <f t="shared" si="7"/>
        <v>0</v>
      </c>
      <c r="R9">
        <f t="shared" si="8"/>
        <v>0</v>
      </c>
      <c r="S9">
        <f t="shared" si="9"/>
        <v>0</v>
      </c>
      <c r="T9">
        <f t="shared" si="10"/>
        <v>0</v>
      </c>
    </row>
    <row r="10" spans="1:20" ht="34" customHeight="1" x14ac:dyDescent="0.2">
      <c r="A10" s="1">
        <v>8</v>
      </c>
      <c r="B10" s="1" t="s">
        <v>27</v>
      </c>
      <c r="C10" s="2" t="s">
        <v>29</v>
      </c>
      <c r="D10" s="1"/>
      <c r="E10" s="1" t="str">
        <f>IF(D10="x",Stammdaten!B9,"")</f>
        <v/>
      </c>
      <c r="F10" s="1"/>
      <c r="G10" s="1"/>
      <c r="H10" s="1"/>
      <c r="I10" s="1"/>
      <c r="J10" s="1"/>
      <c r="K10" s="5">
        <f t="shared" si="1"/>
        <v>0</v>
      </c>
      <c r="L10">
        <f t="shared" si="2"/>
        <v>0</v>
      </c>
      <c r="M10">
        <f t="shared" si="3"/>
        <v>0</v>
      </c>
      <c r="N10">
        <f t="shared" si="4"/>
        <v>0</v>
      </c>
      <c r="O10" s="6">
        <f t="shared" si="5"/>
        <v>0</v>
      </c>
      <c r="P10">
        <f t="shared" si="6"/>
        <v>0</v>
      </c>
      <c r="Q10">
        <f t="shared" si="7"/>
        <v>0</v>
      </c>
      <c r="R10">
        <f t="shared" si="8"/>
        <v>0</v>
      </c>
      <c r="S10">
        <f t="shared" si="9"/>
        <v>0</v>
      </c>
      <c r="T10">
        <f t="shared" si="10"/>
        <v>0</v>
      </c>
    </row>
    <row r="11" spans="1:20" ht="85" customHeight="1" x14ac:dyDescent="0.2">
      <c r="A11" s="1">
        <v>9</v>
      </c>
      <c r="B11" s="1" t="s">
        <v>20</v>
      </c>
      <c r="C11" s="2" t="s">
        <v>30</v>
      </c>
      <c r="D11" s="1"/>
      <c r="E11" s="1" t="str">
        <f>IF(D11="x",Stammdaten!B10,"")</f>
        <v/>
      </c>
      <c r="F11" s="1"/>
      <c r="G11" s="1"/>
      <c r="H11" s="1"/>
      <c r="I11" s="1"/>
      <c r="J11" s="1"/>
      <c r="K11" s="5">
        <f t="shared" si="1"/>
        <v>0</v>
      </c>
      <c r="L11">
        <f t="shared" si="2"/>
        <v>0</v>
      </c>
      <c r="M11">
        <f t="shared" si="3"/>
        <v>0</v>
      </c>
      <c r="N11">
        <f t="shared" si="4"/>
        <v>0</v>
      </c>
      <c r="O11" s="6">
        <f t="shared" si="5"/>
        <v>0</v>
      </c>
      <c r="P11">
        <f t="shared" si="6"/>
        <v>0</v>
      </c>
      <c r="Q11">
        <f t="shared" si="7"/>
        <v>0</v>
      </c>
      <c r="R11">
        <f t="shared" si="8"/>
        <v>0</v>
      </c>
      <c r="S11">
        <f t="shared" si="9"/>
        <v>0</v>
      </c>
      <c r="T11">
        <f t="shared" si="10"/>
        <v>0</v>
      </c>
    </row>
    <row r="12" spans="1:20" ht="85" customHeight="1" x14ac:dyDescent="0.2">
      <c r="A12" s="1">
        <v>10</v>
      </c>
      <c r="B12" s="1" t="s">
        <v>25</v>
      </c>
      <c r="C12" s="2" t="s">
        <v>31</v>
      </c>
      <c r="D12" s="1"/>
      <c r="E12" s="1" t="str">
        <f>IF(D12="x",Stammdaten!B11,"")</f>
        <v/>
      </c>
      <c r="F12" s="1"/>
      <c r="G12" s="1"/>
      <c r="H12" s="1"/>
      <c r="I12" s="1"/>
      <c r="J12" s="1"/>
      <c r="K12" s="5">
        <f t="shared" si="1"/>
        <v>0</v>
      </c>
      <c r="L12">
        <f t="shared" si="2"/>
        <v>0</v>
      </c>
      <c r="M12">
        <f t="shared" si="3"/>
        <v>0</v>
      </c>
      <c r="N12">
        <f t="shared" si="4"/>
        <v>0</v>
      </c>
      <c r="O12" s="6">
        <f t="shared" si="5"/>
        <v>0</v>
      </c>
      <c r="P12">
        <f t="shared" si="6"/>
        <v>0</v>
      </c>
      <c r="Q12">
        <f t="shared" si="7"/>
        <v>0</v>
      </c>
      <c r="R12">
        <f t="shared" si="8"/>
        <v>0</v>
      </c>
      <c r="S12">
        <f t="shared" si="9"/>
        <v>0</v>
      </c>
      <c r="T12">
        <f t="shared" si="10"/>
        <v>0</v>
      </c>
    </row>
    <row r="13" spans="1:20" ht="85" customHeight="1" x14ac:dyDescent="0.2">
      <c r="A13" s="1">
        <v>11</v>
      </c>
      <c r="B13" s="1" t="s">
        <v>15</v>
      </c>
      <c r="C13" s="2" t="s">
        <v>32</v>
      </c>
      <c r="D13" s="1"/>
      <c r="E13" s="1" t="str">
        <f>IF(D13="x",Stammdaten!B12,"")</f>
        <v/>
      </c>
      <c r="F13" s="1"/>
      <c r="G13" s="1"/>
      <c r="H13" s="1"/>
      <c r="I13" s="1"/>
      <c r="J13" s="1"/>
      <c r="K13" s="5">
        <f t="shared" si="1"/>
        <v>0</v>
      </c>
      <c r="L13">
        <f t="shared" si="2"/>
        <v>0</v>
      </c>
      <c r="M13">
        <f t="shared" si="3"/>
        <v>0</v>
      </c>
      <c r="N13">
        <f t="shared" si="4"/>
        <v>0</v>
      </c>
      <c r="O13" s="6">
        <f t="shared" si="5"/>
        <v>0</v>
      </c>
      <c r="P13">
        <f t="shared" si="6"/>
        <v>0</v>
      </c>
      <c r="Q13">
        <f t="shared" si="7"/>
        <v>0</v>
      </c>
      <c r="R13">
        <f t="shared" si="8"/>
        <v>0</v>
      </c>
      <c r="S13">
        <f t="shared" si="9"/>
        <v>0</v>
      </c>
      <c r="T13">
        <f t="shared" si="10"/>
        <v>0</v>
      </c>
    </row>
    <row r="14" spans="1:20" ht="68" customHeight="1" x14ac:dyDescent="0.2">
      <c r="A14" s="1">
        <v>12</v>
      </c>
      <c r="B14" s="1" t="s">
        <v>12</v>
      </c>
      <c r="C14" s="2" t="s">
        <v>33</v>
      </c>
      <c r="D14" s="1"/>
      <c r="E14" s="1" t="str">
        <f>IF(D14="x",Stammdaten!B13,"")</f>
        <v/>
      </c>
      <c r="F14" s="1"/>
      <c r="G14" s="1"/>
      <c r="H14" s="1"/>
      <c r="I14" s="1"/>
      <c r="J14" s="1"/>
      <c r="K14" s="10">
        <f t="shared" si="1"/>
        <v>0</v>
      </c>
      <c r="L14" s="11">
        <f t="shared" si="2"/>
        <v>0</v>
      </c>
      <c r="M14" s="11">
        <f t="shared" si="3"/>
        <v>0</v>
      </c>
      <c r="N14" s="11">
        <f t="shared" si="4"/>
        <v>0</v>
      </c>
      <c r="O14" s="12">
        <f t="shared" si="5"/>
        <v>0</v>
      </c>
      <c r="P14">
        <f t="shared" si="6"/>
        <v>0</v>
      </c>
      <c r="Q14">
        <f t="shared" si="7"/>
        <v>0</v>
      </c>
      <c r="R14">
        <f t="shared" si="8"/>
        <v>0</v>
      </c>
      <c r="S14">
        <f t="shared" si="9"/>
        <v>0</v>
      </c>
      <c r="T14">
        <f t="shared" si="10"/>
        <v>0</v>
      </c>
    </row>
    <row r="15" spans="1:20" x14ac:dyDescent="0.2">
      <c r="K15" s="4">
        <f t="shared" ref="K15:T15" si="11">SUM(K3:K14)</f>
        <v>0</v>
      </c>
      <c r="L15" s="4">
        <f t="shared" si="11"/>
        <v>0</v>
      </c>
      <c r="M15" s="4">
        <f t="shared" si="11"/>
        <v>0</v>
      </c>
      <c r="N15" s="4">
        <f t="shared" si="11"/>
        <v>0</v>
      </c>
      <c r="O15" s="4">
        <f t="shared" si="11"/>
        <v>0</v>
      </c>
      <c r="P15" s="4">
        <f t="shared" si="11"/>
        <v>0</v>
      </c>
      <c r="Q15" s="4">
        <f t="shared" si="11"/>
        <v>0</v>
      </c>
      <c r="R15" s="4">
        <f t="shared" si="11"/>
        <v>0</v>
      </c>
      <c r="S15" s="4">
        <f t="shared" si="11"/>
        <v>0</v>
      </c>
      <c r="T15" s="4">
        <f t="shared" si="11"/>
        <v>0</v>
      </c>
    </row>
  </sheetData>
  <dataValidations count="1">
    <dataValidation type="list" allowBlank="1" showInputMessage="1" showErrorMessage="1" sqref="F3:J14" xr:uid="{00000000-0002-0000-0000-000000000000}">
      <formula1>Namen</formula1>
    </dataValidation>
  </dataValidations>
  <pageMargins left="0.7" right="0.7" top="0.78740157499999996" bottom="0.78740157499999996" header="0.3" footer="0.3"/>
  <headerFooter>
    <oddFooter>&amp;C&amp;"BMW Group Condensed"&amp;12 &amp;KC00000_x000D_# CONFIDENTIAL_x000D_&amp;1#&amp;"BMW Group Condensed"&amp;12&amp;KC00000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3"/>
  <sheetViews>
    <sheetView workbookViewId="0">
      <selection activeCell="C6" sqref="C6"/>
    </sheetView>
  </sheetViews>
  <sheetFormatPr baseColWidth="10" defaultRowHeight="16" x14ac:dyDescent="0.2"/>
  <cols>
    <col min="3" max="3" width="90.6640625" customWidth="1"/>
  </cols>
  <sheetData>
    <row r="1" spans="1:3" x14ac:dyDescent="0.2">
      <c r="A1" s="3" t="s">
        <v>0</v>
      </c>
      <c r="B1" s="3" t="s">
        <v>1</v>
      </c>
      <c r="C1" s="3" t="s">
        <v>2</v>
      </c>
    </row>
    <row r="2" spans="1:3" ht="119" customHeight="1" x14ac:dyDescent="0.2">
      <c r="A2" s="1">
        <v>1</v>
      </c>
      <c r="B2" s="1" t="s">
        <v>10</v>
      </c>
      <c r="C2" s="2" t="s">
        <v>11</v>
      </c>
    </row>
    <row r="3" spans="1:3" ht="51" customHeight="1" x14ac:dyDescent="0.2">
      <c r="A3" s="1">
        <v>2</v>
      </c>
      <c r="B3" s="1" t="s">
        <v>16</v>
      </c>
      <c r="C3" s="2" t="s">
        <v>17</v>
      </c>
    </row>
    <row r="4" spans="1:3" ht="102" customHeight="1" x14ac:dyDescent="0.2">
      <c r="A4" s="1">
        <v>3</v>
      </c>
      <c r="B4" s="1" t="s">
        <v>18</v>
      </c>
      <c r="C4" s="2" t="s">
        <v>19</v>
      </c>
    </row>
    <row r="5" spans="1:3" ht="68" customHeight="1" x14ac:dyDescent="0.2">
      <c r="A5" s="1">
        <v>4</v>
      </c>
      <c r="B5" s="1" t="s">
        <v>21</v>
      </c>
      <c r="C5" s="2" t="s">
        <v>22</v>
      </c>
    </row>
    <row r="6" spans="1:3" ht="119" customHeight="1" x14ac:dyDescent="0.2">
      <c r="A6" s="1">
        <v>5</v>
      </c>
      <c r="B6" s="1" t="s">
        <v>13</v>
      </c>
      <c r="C6" s="2" t="s">
        <v>24</v>
      </c>
    </row>
    <row r="7" spans="1:3" ht="68" customHeight="1" x14ac:dyDescent="0.2">
      <c r="A7" s="1">
        <v>6</v>
      </c>
      <c r="B7" s="1" t="s">
        <v>14</v>
      </c>
      <c r="C7" s="2" t="s">
        <v>26</v>
      </c>
    </row>
    <row r="8" spans="1:3" ht="68" customHeight="1" x14ac:dyDescent="0.2">
      <c r="A8" s="1">
        <v>7</v>
      </c>
      <c r="B8" s="1" t="s">
        <v>23</v>
      </c>
      <c r="C8" s="2" t="s">
        <v>28</v>
      </c>
    </row>
    <row r="9" spans="1:3" ht="34" customHeight="1" x14ac:dyDescent="0.2">
      <c r="A9" s="1">
        <v>8</v>
      </c>
      <c r="B9" s="1" t="s">
        <v>27</v>
      </c>
      <c r="C9" s="2" t="s">
        <v>29</v>
      </c>
    </row>
    <row r="10" spans="1:3" ht="85" customHeight="1" x14ac:dyDescent="0.2">
      <c r="A10" s="1">
        <v>9</v>
      </c>
      <c r="B10" s="1" t="s">
        <v>20</v>
      </c>
      <c r="C10" s="2" t="s">
        <v>30</v>
      </c>
    </row>
    <row r="11" spans="1:3" ht="85" customHeight="1" x14ac:dyDescent="0.2">
      <c r="A11" s="1">
        <v>10</v>
      </c>
      <c r="B11" s="1" t="s">
        <v>25</v>
      </c>
      <c r="C11" s="2" t="s">
        <v>31</v>
      </c>
    </row>
    <row r="12" spans="1:3" ht="85" customHeight="1" x14ac:dyDescent="0.2">
      <c r="A12" s="1">
        <v>11</v>
      </c>
      <c r="B12" s="1" t="s">
        <v>15</v>
      </c>
      <c r="C12" s="2" t="s">
        <v>32</v>
      </c>
    </row>
    <row r="13" spans="1:3" ht="68" customHeight="1" x14ac:dyDescent="0.2">
      <c r="A13" s="1">
        <v>12</v>
      </c>
      <c r="B13" s="1" t="s">
        <v>12</v>
      </c>
      <c r="C13" s="2" t="s">
        <v>33</v>
      </c>
    </row>
  </sheetData>
  <pageMargins left="0.7" right="0.7" top="0.78740157499999996" bottom="0.78740157499999996" header="0.3" footer="0.3"/>
  <headerFooter>
    <oddFooter>&amp;C&amp;"BMW Group Condensed"&amp;12 &amp;KC00000_x000D_# CONFIDENTIAL_x000D_&amp;1#&amp;"BMW Group Condensed"&amp;12&amp;KC00000 CONFIDENTIAL</oddFooter>
  </headerFooter>
</worksheet>
</file>

<file path=docMetadata/LabelInfo.xml><?xml version="1.0" encoding="utf-8"?>
<clbl:labelList xmlns:clbl="http://schemas.microsoft.com/office/2020/mipLabelMetadata">
  <clbl:label id="{e6935750-240b-48e4-a615-66942a738439}" enabled="1" method="Standard" siteId="{ce849bab-cc1c-465b-b62e-18f07c9ac198}"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Arbeitsblätter</vt:lpstr>
      </vt:variant>
      <vt:variant>
        <vt:i4>2</vt:i4>
      </vt:variant>
      <vt:variant>
        <vt:lpstr>Benannte Bereiche</vt:lpstr>
      </vt:variant>
      <vt:variant>
        <vt:i4>1</vt:i4>
      </vt:variant>
    </vt:vector>
  </HeadingPairs>
  <TitlesOfParts>
    <vt:vector size="3" baseType="lpstr">
      <vt:lpstr>Auswertung</vt:lpstr>
      <vt:lpstr>Stammdaten</vt:lpstr>
      <vt:lpstr>Namen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Schenkl Mark, EG-940</dc:creator>
  <cp:lastModifiedBy>Schenkl Mark, EG-940</cp:lastModifiedBy>
  <dcterms:created xsi:type="dcterms:W3CDTF">2026-01-19T14:37:25Z</dcterms:created>
  <dcterms:modified xsi:type="dcterms:W3CDTF">2026-01-23T20:22:28Z</dcterms:modified>
</cp:coreProperties>
</file>